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 activeTab="2"/>
  </bookViews>
  <sheets>
    <sheet name="Г.У. 1 рода" sheetId="1" r:id="rId1"/>
    <sheet name="Г.У. 2 рода" sheetId="2" r:id="rId2"/>
    <sheet name="Г.У. 3 рода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3" l="1"/>
  <c r="H15" i="3" l="1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G15" i="3"/>
  <c r="F14" i="3"/>
  <c r="F15" i="3"/>
  <c r="H14" i="3" l="1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1" i="3" l="1"/>
  <c r="C3" i="3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C4" i="3" l="1"/>
  <c r="G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C4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AF13" i="3" l="1"/>
  <c r="X13" i="3"/>
  <c r="P13" i="3"/>
  <c r="H13" i="3"/>
  <c r="M13" i="3"/>
  <c r="R13" i="3"/>
  <c r="Q13" i="3"/>
  <c r="AE13" i="3"/>
  <c r="W13" i="3"/>
  <c r="O13" i="3"/>
  <c r="G13" i="3"/>
  <c r="AC13" i="3"/>
  <c r="AD13" i="3"/>
  <c r="V13" i="3"/>
  <c r="N13" i="3"/>
  <c r="U13" i="3"/>
  <c r="Z13" i="3"/>
  <c r="AG13" i="3"/>
  <c r="AB13" i="3"/>
  <c r="T13" i="3"/>
  <c r="L13" i="3"/>
  <c r="J13" i="3"/>
  <c r="I13" i="3"/>
  <c r="AI13" i="3"/>
  <c r="AA13" i="3"/>
  <c r="S13" i="3"/>
  <c r="K13" i="3"/>
  <c r="AH13" i="3"/>
  <c r="Y13" i="3"/>
  <c r="G13" i="2"/>
  <c r="C4" i="2"/>
</calcChain>
</file>

<file path=xl/sharedStrings.xml><?xml version="1.0" encoding="utf-8"?>
<sst xmlns="http://schemas.openxmlformats.org/spreadsheetml/2006/main" count="41" uniqueCount="15">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</sst>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'Г.У.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'Г.У.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293.20394733933142</c:v>
                </c:pt>
                <c:pt idx="2">
                  <c:v>286.41072207348736</c:v>
                </c:pt>
                <c:pt idx="3">
                  <c:v>279.61749680764325</c:v>
                </c:pt>
                <c:pt idx="4">
                  <c:v>272.83263015547811</c:v>
                </c:pt>
                <c:pt idx="5">
                  <c:v>266.04776350331281</c:v>
                </c:pt>
                <c:pt idx="6">
                  <c:v>259.27642137194681</c:v>
                </c:pt>
                <c:pt idx="7">
                  <c:v>252.5050792405807</c:v>
                </c:pt>
                <c:pt idx="8">
                  <c:v>245.75183645037191</c:v>
                </c:pt>
                <c:pt idx="9">
                  <c:v>238.99859366016307</c:v>
                </c:pt>
                <c:pt idx="10">
                  <c:v>232.26723400305997</c:v>
                </c:pt>
                <c:pt idx="11">
                  <c:v>225.53587434595681</c:v>
                </c:pt>
                <c:pt idx="12">
                  <c:v>218.82922521564882</c:v>
                </c:pt>
                <c:pt idx="13">
                  <c:v>212.12257608534077</c:v>
                </c:pt>
                <c:pt idx="14">
                  <c:v>205.44238490665995</c:v>
                </c:pt>
                <c:pt idx="15">
                  <c:v>198.76219372797908</c:v>
                </c:pt>
                <c:pt idx="16">
                  <c:v>192.10905158616868</c:v>
                </c:pt>
                <c:pt idx="17">
                  <c:v>185.45590944435821</c:v>
                </c:pt>
                <c:pt idx="18">
                  <c:v>178.82922525195448</c:v>
                </c:pt>
                <c:pt idx="19">
                  <c:v>172.20254105955075</c:v>
                </c:pt>
                <c:pt idx="20">
                  <c:v>165.60056738988501</c:v>
                </c:pt>
                <c:pt idx="21">
                  <c:v>158.99859372021928</c:v>
                </c:pt>
                <c:pt idx="22">
                  <c:v>152.41850317846712</c:v>
                </c:pt>
                <c:pt idx="23">
                  <c:v>145.83841263671496</c:v>
                </c:pt>
                <c:pt idx="24">
                  <c:v>139.27642143069062</c:v>
                </c:pt>
                <c:pt idx="25">
                  <c:v>132.71443022466624</c:v>
                </c:pt>
                <c:pt idx="26">
                  <c:v>126.16596353471313</c:v>
                </c:pt>
                <c:pt idx="27">
                  <c:v>119.61749684476003</c:v>
                </c:pt>
                <c:pt idx="28">
                  <c:v>113.07738876527688</c:v>
                </c:pt>
                <c:pt idx="29">
                  <c:v>106.53728068579375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7112"/>
        <c:axId val="395915936"/>
      </c:scatterChart>
      <c:valAx>
        <c:axId val="395917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5936"/>
        <c:crosses val="autoZero"/>
        <c:crossBetween val="midCat"/>
      </c:valAx>
      <c:valAx>
        <c:axId val="395915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'Г.У.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'Г.У.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293.20394733933142</c:v>
                </c:pt>
                <c:pt idx="2">
                  <c:v>286.41072207348736</c:v>
                </c:pt>
                <c:pt idx="3">
                  <c:v>279.61749680764325</c:v>
                </c:pt>
                <c:pt idx="4">
                  <c:v>272.83263015547811</c:v>
                </c:pt>
                <c:pt idx="5">
                  <c:v>266.04776350331281</c:v>
                </c:pt>
                <c:pt idx="6">
                  <c:v>259.27642137194681</c:v>
                </c:pt>
                <c:pt idx="7">
                  <c:v>252.5050792405807</c:v>
                </c:pt>
                <c:pt idx="8">
                  <c:v>245.75183645037191</c:v>
                </c:pt>
                <c:pt idx="9">
                  <c:v>238.99859366016307</c:v>
                </c:pt>
                <c:pt idx="10">
                  <c:v>232.26723400305997</c:v>
                </c:pt>
                <c:pt idx="11">
                  <c:v>225.53587434595681</c:v>
                </c:pt>
                <c:pt idx="12">
                  <c:v>218.82922521564882</c:v>
                </c:pt>
                <c:pt idx="13">
                  <c:v>212.12257608534077</c:v>
                </c:pt>
                <c:pt idx="14">
                  <c:v>205.44238490665995</c:v>
                </c:pt>
                <c:pt idx="15">
                  <c:v>198.76219372797908</c:v>
                </c:pt>
                <c:pt idx="16">
                  <c:v>192.10905158616868</c:v>
                </c:pt>
                <c:pt idx="17">
                  <c:v>185.45590944435821</c:v>
                </c:pt>
                <c:pt idx="18">
                  <c:v>178.82922525195448</c:v>
                </c:pt>
                <c:pt idx="19">
                  <c:v>172.20254105955075</c:v>
                </c:pt>
                <c:pt idx="20">
                  <c:v>165.60056738988501</c:v>
                </c:pt>
                <c:pt idx="21">
                  <c:v>158.99859372021928</c:v>
                </c:pt>
                <c:pt idx="22">
                  <c:v>152.41850317846712</c:v>
                </c:pt>
                <c:pt idx="23">
                  <c:v>145.83841263671496</c:v>
                </c:pt>
                <c:pt idx="24">
                  <c:v>139.27642143069062</c:v>
                </c:pt>
                <c:pt idx="25">
                  <c:v>132.71443022466624</c:v>
                </c:pt>
                <c:pt idx="26">
                  <c:v>126.16596353471313</c:v>
                </c:pt>
                <c:pt idx="27">
                  <c:v>119.61749684476003</c:v>
                </c:pt>
                <c:pt idx="28">
                  <c:v>113.07738876527688</c:v>
                </c:pt>
                <c:pt idx="29">
                  <c:v>106.53728068579375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8288"/>
        <c:axId val="395917896"/>
      </c:scatterChart>
      <c:valAx>
        <c:axId val="3959182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7896"/>
        <c:crosses val="autoZero"/>
        <c:crossBetween val="midCat"/>
      </c:valAx>
      <c:valAx>
        <c:axId val="395917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'Г.У.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'Г.У.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293.20394733933142</c:v>
                </c:pt>
                <c:pt idx="2">
                  <c:v>286.41072207348736</c:v>
                </c:pt>
                <c:pt idx="3">
                  <c:v>279.61749680764325</c:v>
                </c:pt>
                <c:pt idx="4">
                  <c:v>272.83263015547811</c:v>
                </c:pt>
                <c:pt idx="5">
                  <c:v>266.04776350331281</c:v>
                </c:pt>
                <c:pt idx="6">
                  <c:v>259.27642137194681</c:v>
                </c:pt>
                <c:pt idx="7">
                  <c:v>252.5050792405807</c:v>
                </c:pt>
                <c:pt idx="8">
                  <c:v>245.75183645037191</c:v>
                </c:pt>
                <c:pt idx="9">
                  <c:v>238.99859366016307</c:v>
                </c:pt>
                <c:pt idx="10">
                  <c:v>232.26723400305997</c:v>
                </c:pt>
                <c:pt idx="11">
                  <c:v>225.53587434595681</c:v>
                </c:pt>
                <c:pt idx="12">
                  <c:v>218.82922521564882</c:v>
                </c:pt>
                <c:pt idx="13">
                  <c:v>212.12257608534077</c:v>
                </c:pt>
                <c:pt idx="14">
                  <c:v>205.44238490665995</c:v>
                </c:pt>
                <c:pt idx="15">
                  <c:v>198.76219372797908</c:v>
                </c:pt>
                <c:pt idx="16">
                  <c:v>192.10905158616868</c:v>
                </c:pt>
                <c:pt idx="17">
                  <c:v>185.45590944435821</c:v>
                </c:pt>
                <c:pt idx="18">
                  <c:v>178.82922525195448</c:v>
                </c:pt>
                <c:pt idx="19">
                  <c:v>172.20254105955075</c:v>
                </c:pt>
                <c:pt idx="20">
                  <c:v>165.60056738988501</c:v>
                </c:pt>
                <c:pt idx="21">
                  <c:v>158.99859372021928</c:v>
                </c:pt>
                <c:pt idx="22">
                  <c:v>152.41850317846712</c:v>
                </c:pt>
                <c:pt idx="23">
                  <c:v>145.83841263671496</c:v>
                </c:pt>
                <c:pt idx="24">
                  <c:v>139.27642143069062</c:v>
                </c:pt>
                <c:pt idx="25">
                  <c:v>132.71443022466624</c:v>
                </c:pt>
                <c:pt idx="26">
                  <c:v>126.16596353471313</c:v>
                </c:pt>
                <c:pt idx="27">
                  <c:v>119.61749684476003</c:v>
                </c:pt>
                <c:pt idx="28">
                  <c:v>113.07738876527688</c:v>
                </c:pt>
                <c:pt idx="29">
                  <c:v>106.53728068579375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6328"/>
        <c:axId val="395916720"/>
      </c:scatterChart>
      <c:valAx>
        <c:axId val="3959163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6720"/>
        <c:crosses val="autoZero"/>
        <c:crossBetween val="midCat"/>
      </c:valAx>
      <c:valAx>
        <c:axId val="395916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N13"/>
  <sheetViews>
    <sheetView zoomScaleNormal="100" workbookViewId="0">
      <selection activeCell="G13" sqref="G13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200</v>
      </c>
      <c r="D5">
        <v>200.43333333333334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293.20394733933142</v>
      </c>
      <c r="H11">
        <v>286.41072207348736</v>
      </c>
      <c r="I11">
        <v>279.61749680764325</v>
      </c>
      <c r="J11">
        <v>272.83263015547811</v>
      </c>
      <c r="K11">
        <v>266.04776350331281</v>
      </c>
      <c r="L11">
        <v>259.27642137194681</v>
      </c>
      <c r="M11">
        <v>252.5050792405807</v>
      </c>
      <c r="N11">
        <v>245.75183645037191</v>
      </c>
      <c r="O11">
        <v>238.99859366016307</v>
      </c>
      <c r="P11">
        <v>232.26723400305997</v>
      </c>
      <c r="Q11">
        <v>225.53587434595681</v>
      </c>
      <c r="R11">
        <v>218.82922521564882</v>
      </c>
      <c r="S11">
        <v>212.12257608534077</v>
      </c>
      <c r="T11">
        <v>205.44238490665995</v>
      </c>
      <c r="U11">
        <v>198.76219372797908</v>
      </c>
      <c r="V11">
        <v>192.10905158616868</v>
      </c>
      <c r="W11">
        <v>185.45590944435821</v>
      </c>
      <c r="X11">
        <v>178.82922525195448</v>
      </c>
      <c r="Y11">
        <v>172.20254105955075</v>
      </c>
      <c r="Z11">
        <v>165.60056738988501</v>
      </c>
      <c r="AA11">
        <v>158.99859372021928</v>
      </c>
      <c r="AB11">
        <v>152.41850317846712</v>
      </c>
      <c r="AC11">
        <v>145.83841263671496</v>
      </c>
      <c r="AD11">
        <v>139.27642143069062</v>
      </c>
      <c r="AE11">
        <v>132.71443022466624</v>
      </c>
      <c r="AF11">
        <v>126.16596353471313</v>
      </c>
      <c r="AG11">
        <v>119.61749684476003</v>
      </c>
      <c r="AH11">
        <v>113.07738876527688</v>
      </c>
      <c r="AI11">
        <v>106.53728068579375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293.20536103674368</v>
      </c>
      <c r="H13">
        <f t="shared" ref="H13:AI13" si="1">H11+(($C$9*$C$4)/($C$8*$C$7))*((I11-2*H11+G11)/($C$3^2))</f>
        <v>286.41072207348736</v>
      </c>
      <c r="I13">
        <f t="shared" si="1"/>
        <v>279.62167611448274</v>
      </c>
      <c r="J13">
        <f t="shared" si="1"/>
        <v>272.832630155478</v>
      </c>
      <c r="K13">
        <f t="shared" si="1"/>
        <v>266.05452576371249</v>
      </c>
      <c r="L13">
        <f t="shared" si="1"/>
        <v>259.27642137194675</v>
      </c>
      <c r="M13">
        <f t="shared" si="1"/>
        <v>252.51412891115936</v>
      </c>
      <c r="N13">
        <f t="shared" si="1"/>
        <v>245.75183645037188</v>
      </c>
      <c r="O13">
        <f t="shared" si="1"/>
        <v>239.00953522671594</v>
      </c>
      <c r="P13">
        <f t="shared" si="1"/>
        <v>232.26723400305994</v>
      </c>
      <c r="Q13">
        <f t="shared" si="1"/>
        <v>225.54822960935439</v>
      </c>
      <c r="R13">
        <f t="shared" si="1"/>
        <v>218.82922521564879</v>
      </c>
      <c r="S13">
        <f t="shared" si="1"/>
        <v>212.13580506115437</v>
      </c>
      <c r="T13">
        <f t="shared" si="1"/>
        <v>205.44238490665992</v>
      </c>
      <c r="U13">
        <f t="shared" si="1"/>
        <v>198.77571824641433</v>
      </c>
      <c r="V13">
        <f t="shared" si="1"/>
        <v>192.10905158616865</v>
      </c>
      <c r="W13">
        <f t="shared" si="1"/>
        <v>185.46913841906158</v>
      </c>
      <c r="X13">
        <f t="shared" si="1"/>
        <v>178.82922525195448</v>
      </c>
      <c r="Y13">
        <f t="shared" si="1"/>
        <v>172.21489632091976</v>
      </c>
      <c r="Z13">
        <f t="shared" si="1"/>
        <v>165.60056738988501</v>
      </c>
      <c r="AA13">
        <f t="shared" si="1"/>
        <v>159.00953528417608</v>
      </c>
      <c r="AB13">
        <f t="shared" si="1"/>
        <v>152.41850317846712</v>
      </c>
      <c r="AC13">
        <f t="shared" si="1"/>
        <v>145.84746230457887</v>
      </c>
      <c r="AD13">
        <f t="shared" si="1"/>
        <v>139.27642143069062</v>
      </c>
      <c r="AE13">
        <f t="shared" si="1"/>
        <v>132.72119248270187</v>
      </c>
      <c r="AF13">
        <f t="shared" si="1"/>
        <v>126.16596353471314</v>
      </c>
      <c r="AG13">
        <f t="shared" si="1"/>
        <v>119.62167614999501</v>
      </c>
      <c r="AH13">
        <f t="shared" si="1"/>
        <v>113.07738876527688</v>
      </c>
      <c r="AI13">
        <f t="shared" si="1"/>
        <v>106.53869438263844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zoomScaleNormal="100" workbookViewId="0">
      <selection activeCell="J29" sqref="J28:J29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5500</v>
      </c>
      <c r="D5">
        <v>5500.4333333333334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299.99999991875285</v>
      </c>
      <c r="G11">
        <v>293.33333325208616</v>
      </c>
      <c r="H11">
        <v>286.66666658564981</v>
      </c>
      <c r="I11">
        <v>279.9999999194431</v>
      </c>
      <c r="J11">
        <v>273.33333325346473</v>
      </c>
      <c r="K11">
        <v>266.66666658771271</v>
      </c>
      <c r="L11">
        <v>259.99999992218454</v>
      </c>
      <c r="M11">
        <v>253.33333325687695</v>
      </c>
      <c r="N11">
        <v>246.66666659178611</v>
      </c>
      <c r="O11">
        <v>239.99999992690744</v>
      </c>
      <c r="P11">
        <v>233.33333326223607</v>
      </c>
      <c r="Q11">
        <v>226.66666659776612</v>
      </c>
      <c r="R11">
        <v>219.99999993349158</v>
      </c>
      <c r="S11">
        <v>213.3333332694055</v>
      </c>
      <c r="T11">
        <v>206.66666660550067</v>
      </c>
      <c r="U11">
        <v>199.9999999417692</v>
      </c>
      <c r="V11">
        <v>193.33333327820282</v>
      </c>
      <c r="W11">
        <v>186.66666661479266</v>
      </c>
      <c r="X11">
        <v>179.99999995152962</v>
      </c>
      <c r="Y11">
        <v>173.33333328840388</v>
      </c>
      <c r="Z11">
        <v>166.66666662540558</v>
      </c>
      <c r="AA11">
        <v>159.99999996252421</v>
      </c>
      <c r="AB11">
        <v>153.33333329974906</v>
      </c>
      <c r="AC11">
        <v>146.66666663706911</v>
      </c>
      <c r="AD11">
        <v>139.99999997447307</v>
      </c>
      <c r="AE11">
        <v>133.33333331194939</v>
      </c>
      <c r="AF11">
        <v>126.6666666494863</v>
      </c>
      <c r="AG11">
        <v>119.99999998707196</v>
      </c>
      <c r="AH11">
        <v>113.33333332469419</v>
      </c>
      <c r="AI11">
        <v>106.66666666234099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293.33333325220133</v>
      </c>
      <c r="H13">
        <f t="shared" ref="H13:AI13" si="1">H11+(($C$9*$C$4)/($C$8*$C$7))*((I11-2*H11+G11)/($C$3^2))</f>
        <v>286.66666658576463</v>
      </c>
      <c r="I13">
        <f t="shared" si="1"/>
        <v>279.99999991955724</v>
      </c>
      <c r="J13">
        <f t="shared" si="1"/>
        <v>273.3333332535779</v>
      </c>
      <c r="K13">
        <f t="shared" si="1"/>
        <v>266.66666658782464</v>
      </c>
      <c r="L13">
        <f t="shared" si="1"/>
        <v>259.99999992229482</v>
      </c>
      <c r="M13">
        <f t="shared" si="1"/>
        <v>253.33333325698533</v>
      </c>
      <c r="N13">
        <f t="shared" si="1"/>
        <v>246.66666659189218</v>
      </c>
      <c r="O13">
        <f t="shared" si="1"/>
        <v>239.99999992701109</v>
      </c>
      <c r="P13">
        <f t="shared" si="1"/>
        <v>233.33333326233679</v>
      </c>
      <c r="Q13">
        <f t="shared" si="1"/>
        <v>226.66666659786381</v>
      </c>
      <c r="R13">
        <f t="shared" si="1"/>
        <v>219.9999999335858</v>
      </c>
      <c r="S13">
        <f t="shared" si="1"/>
        <v>213.33333326949611</v>
      </c>
      <c r="T13">
        <f t="shared" si="1"/>
        <v>206.66666660558735</v>
      </c>
      <c r="U13">
        <f t="shared" si="1"/>
        <v>199.99999994185174</v>
      </c>
      <c r="V13">
        <f t="shared" si="1"/>
        <v>193.33333327828092</v>
      </c>
      <c r="W13">
        <f t="shared" si="1"/>
        <v>186.66666661486622</v>
      </c>
      <c r="X13">
        <f t="shared" si="1"/>
        <v>179.99999995159828</v>
      </c>
      <c r="Y13">
        <f t="shared" si="1"/>
        <v>173.3333332884676</v>
      </c>
      <c r="Z13">
        <f t="shared" si="1"/>
        <v>166.66666662546405</v>
      </c>
      <c r="AA13">
        <f t="shared" si="1"/>
        <v>159.99999996257731</v>
      </c>
      <c r="AB13">
        <f t="shared" si="1"/>
        <v>153.33333329979666</v>
      </c>
      <c r="AC13">
        <f t="shared" si="1"/>
        <v>146.66666663711106</v>
      </c>
      <c r="AD13">
        <f t="shared" si="1"/>
        <v>139.99999997450925</v>
      </c>
      <c r="AE13">
        <f t="shared" si="1"/>
        <v>133.33333331197969</v>
      </c>
      <c r="AF13">
        <f t="shared" si="1"/>
        <v>126.66666664951067</v>
      </c>
      <c r="AG13">
        <f t="shared" si="1"/>
        <v>119.99999998709025</v>
      </c>
      <c r="AH13">
        <f t="shared" si="1"/>
        <v>113.33333332470647</v>
      </c>
      <c r="AI13">
        <f t="shared" si="1"/>
        <v>106.6666666623471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91999.999996821702</v>
      </c>
      <c r="I14">
        <f t="shared" si="2"/>
        <v>91999.999993652571</v>
      </c>
      <c r="J14">
        <f t="shared" si="2"/>
        <v>91999.99999050147</v>
      </c>
      <c r="K14">
        <f t="shared" si="2"/>
        <v>91999.999987377843</v>
      </c>
      <c r="L14">
        <f t="shared" si="2"/>
        <v>91999.999984288719</v>
      </c>
      <c r="M14">
        <f t="shared" si="2"/>
        <v>91999.999981244706</v>
      </c>
      <c r="N14">
        <f t="shared" si="2"/>
        <v>91999.999978253647</v>
      </c>
      <c r="O14">
        <f t="shared" si="2"/>
        <v>91999.999975325714</v>
      </c>
      <c r="P14">
        <f t="shared" si="2"/>
        <v>91999.999972464866</v>
      </c>
      <c r="Q14">
        <f t="shared" si="2"/>
        <v>91999.999969685217</v>
      </c>
      <c r="R14">
        <f t="shared" si="2"/>
        <v>91999.999966988704</v>
      </c>
      <c r="S14">
        <f t="shared" si="2"/>
        <v>91999.999964387898</v>
      </c>
      <c r="T14">
        <f t="shared" si="2"/>
        <v>91999.9999618867</v>
      </c>
      <c r="U14">
        <f t="shared" si="2"/>
        <v>91999.999959494162</v>
      </c>
      <c r="V14">
        <f t="shared" si="2"/>
        <v>91999.999957216147</v>
      </c>
      <c r="W14">
        <f t="shared" si="2"/>
        <v>91999.999955060135</v>
      </c>
      <c r="X14">
        <f t="shared" si="2"/>
        <v>91999.999953029997</v>
      </c>
      <c r="Y14">
        <f t="shared" si="2"/>
        <v>91999.999951135178</v>
      </c>
      <c r="Z14">
        <f t="shared" si="2"/>
        <v>91999.999949376463</v>
      </c>
      <c r="AA14">
        <f t="shared" si="2"/>
        <v>91999.999947762873</v>
      </c>
      <c r="AB14">
        <f t="shared" si="2"/>
        <v>91999.999946297161</v>
      </c>
      <c r="AC14">
        <f t="shared" si="2"/>
        <v>91999.999944983225</v>
      </c>
      <c r="AD14">
        <f t="shared" si="2"/>
        <v>91999.999943825387</v>
      </c>
      <c r="AE14">
        <f t="shared" si="2"/>
        <v>91999.999942826806</v>
      </c>
      <c r="AF14">
        <f t="shared" si="2"/>
        <v>91999.99994199058</v>
      </c>
      <c r="AG14">
        <f t="shared" si="2"/>
        <v>91999.999941317918</v>
      </c>
      <c r="AH14">
        <f t="shared" si="2"/>
        <v>91999.999940813141</v>
      </c>
      <c r="AI14">
        <f t="shared" si="2"/>
        <v>91999.99994047427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N15"/>
  <sheetViews>
    <sheetView tabSelected="1" zoomScaleNormal="100" workbookViewId="0">
      <selection activeCell="G11" sqref="G11:AI11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1000</v>
      </c>
      <c r="D5">
        <v>1000.4333333333333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300</v>
      </c>
      <c r="E11" t="s">
        <v>9</v>
      </c>
      <c r="F11">
        <f>C11</f>
        <v>300</v>
      </c>
      <c r="G11">
        <v>293.3333333333328</v>
      </c>
      <c r="H11">
        <v>286.66666666666566</v>
      </c>
      <c r="I11">
        <v>279.99999999999852</v>
      </c>
      <c r="J11">
        <v>273.33333333333144</v>
      </c>
      <c r="K11">
        <v>266.66666666666441</v>
      </c>
      <c r="L11">
        <v>259.99999999999739</v>
      </c>
      <c r="M11">
        <v>253.33333333333042</v>
      </c>
      <c r="N11">
        <v>246.66666666666347</v>
      </c>
      <c r="O11">
        <v>239.99999999999659</v>
      </c>
      <c r="P11">
        <v>233.33333333332968</v>
      </c>
      <c r="Q11">
        <v>226.66666666666285</v>
      </c>
      <c r="R11">
        <v>219.99999999999602</v>
      </c>
      <c r="S11">
        <v>213.33333333332928</v>
      </c>
      <c r="T11">
        <v>206.66666666666254</v>
      </c>
      <c r="U11">
        <v>199.99999999999588</v>
      </c>
      <c r="V11">
        <v>193.33333333332922</v>
      </c>
      <c r="W11">
        <v>186.66666666666265</v>
      </c>
      <c r="X11">
        <v>179.99999999999608</v>
      </c>
      <c r="Y11">
        <v>173.33333333332959</v>
      </c>
      <c r="Z11">
        <v>166.6666666666631</v>
      </c>
      <c r="AA11">
        <v>159.9999999999967</v>
      </c>
      <c r="AB11">
        <v>153.3333333333303</v>
      </c>
      <c r="AC11">
        <v>146.66666666666393</v>
      </c>
      <c r="AD11">
        <v>139.99999999999761</v>
      </c>
      <c r="AE11">
        <v>133.33333333333127</v>
      </c>
      <c r="AF11">
        <v>126.66666666666499</v>
      </c>
      <c r="AG11">
        <v>119.99999999999874</v>
      </c>
      <c r="AH11">
        <v>113.33333333333249</v>
      </c>
      <c r="AI11">
        <v>106.66666666666623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293.3333333333328</v>
      </c>
      <c r="H13">
        <f t="shared" ref="H13:AI13" si="1">H11+(($C$9*$C$4)/($C$8*$C$7))*((I11-2*H11+G11)/($C$3^2))</f>
        <v>286.66666666666566</v>
      </c>
      <c r="I13">
        <f t="shared" si="1"/>
        <v>279.99999999999852</v>
      </c>
      <c r="J13">
        <f t="shared" si="1"/>
        <v>273.33333333333144</v>
      </c>
      <c r="K13">
        <f t="shared" si="1"/>
        <v>266.66666666666441</v>
      </c>
      <c r="L13">
        <f t="shared" si="1"/>
        <v>259.99999999999739</v>
      </c>
      <c r="M13">
        <f t="shared" si="1"/>
        <v>253.33333333333042</v>
      </c>
      <c r="N13">
        <f t="shared" si="1"/>
        <v>246.6666666666635</v>
      </c>
      <c r="O13">
        <f t="shared" si="1"/>
        <v>239.99999999999659</v>
      </c>
      <c r="P13">
        <f t="shared" si="1"/>
        <v>233.33333333332973</v>
      </c>
      <c r="Q13">
        <f t="shared" si="1"/>
        <v>226.66666666666285</v>
      </c>
      <c r="R13">
        <f t="shared" si="1"/>
        <v>219.99999999999608</v>
      </c>
      <c r="S13">
        <f t="shared" si="1"/>
        <v>213.33333333332928</v>
      </c>
      <c r="T13">
        <f t="shared" si="1"/>
        <v>206.66666666666259</v>
      </c>
      <c r="U13">
        <f t="shared" si="1"/>
        <v>199.99999999999588</v>
      </c>
      <c r="V13">
        <f t="shared" si="1"/>
        <v>193.33333333332928</v>
      </c>
      <c r="W13">
        <f t="shared" si="1"/>
        <v>186.66666666666265</v>
      </c>
      <c r="X13">
        <f t="shared" si="1"/>
        <v>179.99999999999613</v>
      </c>
      <c r="Y13">
        <f t="shared" si="1"/>
        <v>173.33333333332959</v>
      </c>
      <c r="Z13">
        <f t="shared" si="1"/>
        <v>166.66666666666316</v>
      </c>
      <c r="AA13">
        <f t="shared" si="1"/>
        <v>159.9999999999967</v>
      </c>
      <c r="AB13">
        <f t="shared" si="1"/>
        <v>153.3333333333303</v>
      </c>
      <c r="AC13">
        <f t="shared" si="1"/>
        <v>146.66666666666396</v>
      </c>
      <c r="AD13">
        <f t="shared" si="1"/>
        <v>139.99999999999761</v>
      </c>
      <c r="AE13">
        <f t="shared" si="1"/>
        <v>133.3333333333313</v>
      </c>
      <c r="AF13">
        <f t="shared" si="1"/>
        <v>126.66666666666499</v>
      </c>
      <c r="AG13">
        <f t="shared" si="1"/>
        <v>119.99999999999875</v>
      </c>
      <c r="AH13">
        <f t="shared" si="1"/>
        <v>113.33333333333249</v>
      </c>
      <c r="AI13">
        <f t="shared" si="1"/>
        <v>106.66666666666625</v>
      </c>
    </row>
    <row r="14" spans="2:40" x14ac:dyDescent="0.25">
      <c r="B14" s="3" t="s">
        <v>14</v>
      </c>
      <c r="C14" s="1">
        <v>13800</v>
      </c>
      <c r="E14" t="s">
        <v>11</v>
      </c>
      <c r="F14">
        <f>C15</f>
        <v>92000</v>
      </c>
      <c r="G14">
        <f>-$C$9*((G11-F11)/$C$3)</f>
        <v>92000.000000007305</v>
      </c>
      <c r="H14">
        <f t="shared" ref="H14:AI14" si="2">-$C$9*((H11-G11)/$C$3)</f>
        <v>92000.000000006519</v>
      </c>
      <c r="I14">
        <f t="shared" si="2"/>
        <v>92000.000000006519</v>
      </c>
      <c r="J14">
        <f t="shared" si="2"/>
        <v>92000.000000005748</v>
      </c>
      <c r="K14">
        <f t="shared" si="2"/>
        <v>92000.000000004962</v>
      </c>
      <c r="L14">
        <f t="shared" si="2"/>
        <v>92000.000000004962</v>
      </c>
      <c r="M14">
        <f t="shared" si="2"/>
        <v>92000.000000004176</v>
      </c>
      <c r="N14">
        <f t="shared" si="2"/>
        <v>92000.000000003783</v>
      </c>
      <c r="O14">
        <f t="shared" si="2"/>
        <v>92000.000000002998</v>
      </c>
      <c r="P14">
        <f t="shared" si="2"/>
        <v>92000.000000003391</v>
      </c>
      <c r="Q14">
        <f t="shared" si="2"/>
        <v>92000.000000002212</v>
      </c>
      <c r="R14">
        <f t="shared" si="2"/>
        <v>92000.000000002212</v>
      </c>
      <c r="S14">
        <f t="shared" si="2"/>
        <v>92000.000000001033</v>
      </c>
      <c r="T14">
        <f t="shared" si="2"/>
        <v>92000.000000001033</v>
      </c>
      <c r="U14">
        <f t="shared" si="2"/>
        <v>91999.999999999869</v>
      </c>
      <c r="V14">
        <f t="shared" si="2"/>
        <v>91999.999999999869</v>
      </c>
      <c r="W14">
        <f t="shared" si="2"/>
        <v>91999.999999998676</v>
      </c>
      <c r="X14">
        <f t="shared" si="2"/>
        <v>91999.999999998676</v>
      </c>
      <c r="Y14">
        <f t="shared" si="2"/>
        <v>91999.999999997512</v>
      </c>
      <c r="Z14">
        <f t="shared" si="2"/>
        <v>91999.999999997512</v>
      </c>
      <c r="AA14">
        <f t="shared" si="2"/>
        <v>91999.999999996333</v>
      </c>
      <c r="AB14">
        <f t="shared" si="2"/>
        <v>91999.999999996333</v>
      </c>
      <c r="AC14">
        <f t="shared" si="2"/>
        <v>91999.99999999594</v>
      </c>
      <c r="AD14">
        <f t="shared" si="2"/>
        <v>91999.999999995154</v>
      </c>
      <c r="AE14">
        <f t="shared" si="2"/>
        <v>91999.999999995547</v>
      </c>
      <c r="AF14">
        <f t="shared" si="2"/>
        <v>91999.999999994572</v>
      </c>
      <c r="AG14">
        <f t="shared" si="2"/>
        <v>91999.999999994368</v>
      </c>
      <c r="AH14">
        <f t="shared" si="2"/>
        <v>91999.999999994179</v>
      </c>
      <c r="AI14">
        <f t="shared" si="2"/>
        <v>91999.999999994368</v>
      </c>
    </row>
    <row r="15" spans="2:40" x14ac:dyDescent="0.25">
      <c r="B15" s="4" t="s">
        <v>11</v>
      </c>
      <c r="C15" s="4">
        <v>92000</v>
      </c>
      <c r="E15" s="2" t="s">
        <v>14</v>
      </c>
      <c r="F15">
        <f>C14</f>
        <v>13800</v>
      </c>
      <c r="G15">
        <f>-$C$15/(G11-F11)</f>
        <v>13799.999999998901</v>
      </c>
      <c r="H15">
        <f t="shared" ref="H15:AI15" si="3">-$C$15/(H11-G11)</f>
        <v>13799.99999999902</v>
      </c>
      <c r="I15">
        <f t="shared" si="3"/>
        <v>13799.99999999902</v>
      </c>
      <c r="J15">
        <f t="shared" si="3"/>
        <v>13799.999999999138</v>
      </c>
      <c r="K15">
        <f t="shared" si="3"/>
        <v>13799.999999999254</v>
      </c>
      <c r="L15">
        <f t="shared" si="3"/>
        <v>13799.999999999254</v>
      </c>
      <c r="M15">
        <f t="shared" si="3"/>
        <v>13799.999999999372</v>
      </c>
      <c r="N15">
        <f t="shared" si="3"/>
        <v>13799.999999999431</v>
      </c>
      <c r="O15">
        <f t="shared" si="3"/>
        <v>13799.999999999549</v>
      </c>
      <c r="P15">
        <f t="shared" si="3"/>
        <v>13799.999999999491</v>
      </c>
      <c r="Q15">
        <f t="shared" si="3"/>
        <v>13799.999999999667</v>
      </c>
      <c r="R15">
        <f t="shared" si="3"/>
        <v>13799.999999999667</v>
      </c>
      <c r="S15">
        <f t="shared" si="3"/>
        <v>13799.999999999844</v>
      </c>
      <c r="T15">
        <f t="shared" si="3"/>
        <v>13799.999999999844</v>
      </c>
      <c r="U15">
        <f t="shared" si="3"/>
        <v>13800.00000000002</v>
      </c>
      <c r="V15">
        <f t="shared" si="3"/>
        <v>13800.00000000002</v>
      </c>
      <c r="W15">
        <f t="shared" si="3"/>
        <v>13800.000000000196</v>
      </c>
      <c r="X15">
        <f t="shared" si="3"/>
        <v>13800.000000000196</v>
      </c>
      <c r="Y15">
        <f t="shared" si="3"/>
        <v>13800.000000000373</v>
      </c>
      <c r="Z15">
        <f t="shared" si="3"/>
        <v>13800.000000000373</v>
      </c>
      <c r="AA15">
        <f t="shared" si="3"/>
        <v>13800.000000000549</v>
      </c>
      <c r="AB15">
        <f t="shared" si="3"/>
        <v>13800.000000000549</v>
      </c>
      <c r="AC15">
        <f t="shared" si="3"/>
        <v>13800.000000000608</v>
      </c>
      <c r="AD15">
        <f t="shared" si="3"/>
        <v>13800.000000000726</v>
      </c>
      <c r="AE15">
        <f t="shared" si="3"/>
        <v>13800.000000000668</v>
      </c>
      <c r="AF15">
        <f t="shared" si="3"/>
        <v>13800.000000000813</v>
      </c>
      <c r="AG15">
        <f t="shared" si="3"/>
        <v>13800.000000000844</v>
      </c>
      <c r="AH15">
        <f t="shared" si="3"/>
        <v>13800.000000000873</v>
      </c>
      <c r="AI15">
        <f t="shared" si="3"/>
        <v>13800.000000000844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Г.У. 1 рода</vt:lpstr>
      <vt:lpstr>Г.У. 2 рода</vt:lpstr>
      <vt:lpstr>Г.У. 3 рода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2021-03-20T15:25:01Z</dcterms:created>
  <dcterms:modified xsi:type="dcterms:W3CDTF">2021-04-03T11:05:02Z</dcterms:modified>
</cp:coreProperties>
</file>