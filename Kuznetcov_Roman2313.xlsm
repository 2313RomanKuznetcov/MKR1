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RomaK\Desktop\"/>
    </mc:Choice>
  </mc:AlternateContent>
  <bookViews>
    <workbookView xWindow="0" yWindow="0" windowWidth="24000" windowHeight="14235"/>
  </bookViews>
  <sheets>
    <sheet name="Лист1" sheetId="1" r:id="rId1"/>
  </sheet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16" i="1" l="1"/>
  <c r="I16" i="1"/>
  <c r="J16" i="1"/>
  <c r="K16" i="1"/>
  <c r="L16" i="1"/>
  <c r="M16" i="1"/>
  <c r="N16" i="1"/>
  <c r="O16" i="1"/>
  <c r="P16" i="1"/>
  <c r="Q16" i="1"/>
  <c r="R16" i="1"/>
  <c r="S16" i="1"/>
  <c r="T16" i="1"/>
  <c r="U16" i="1"/>
  <c r="V16" i="1"/>
  <c r="W16" i="1"/>
  <c r="X16" i="1"/>
  <c r="Y16" i="1"/>
  <c r="Z16" i="1"/>
  <c r="AA16" i="1"/>
  <c r="AB16" i="1"/>
  <c r="AC16" i="1"/>
  <c r="AD16" i="1"/>
  <c r="AE16" i="1"/>
  <c r="AF16" i="1"/>
  <c r="AG16" i="1"/>
  <c r="AH16" i="1"/>
  <c r="AI16" i="1"/>
  <c r="F16" i="1"/>
  <c r="G16" i="1"/>
  <c r="C4" i="1" l="1"/>
  <c r="C5" i="1" s="1"/>
  <c r="G12" i="1" l="1"/>
  <c r="H12" i="1" s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H15" i="1"/>
  <c r="T15" i="1"/>
  <c r="AF15" i="1"/>
  <c r="AA15" i="1"/>
  <c r="AB15" i="1"/>
  <c r="I15" i="1"/>
  <c r="U15" i="1"/>
  <c r="AG15" i="1"/>
  <c r="V15" i="1"/>
  <c r="AH15" i="1"/>
  <c r="W15" i="1"/>
  <c r="AI15" i="1"/>
  <c r="L15" i="1"/>
  <c r="X15" i="1"/>
  <c r="M15" i="1"/>
  <c r="Y15" i="1"/>
  <c r="Z15" i="1"/>
  <c r="P15" i="1"/>
  <c r="Q15" i="1"/>
  <c r="AC15" i="1"/>
  <c r="AE15" i="1"/>
  <c r="J15" i="1"/>
  <c r="O15" i="1"/>
  <c r="R15" i="1"/>
  <c r="K15" i="1"/>
  <c r="N15" i="1"/>
  <c r="S15" i="1"/>
  <c r="G15" i="1"/>
  <c r="AD15" i="1"/>
</calcChain>
</file>

<file path=xl/sharedStrings.xml><?xml version="1.0" encoding="utf-8"?>
<sst xmlns="http://schemas.openxmlformats.org/spreadsheetml/2006/main" count="15" uniqueCount="14">
  <si>
    <t>L</t>
  </si>
  <si>
    <t>dx</t>
  </si>
  <si>
    <t>dt</t>
  </si>
  <si>
    <t>t</t>
  </si>
  <si>
    <t>Cp</t>
  </si>
  <si>
    <t>r0</t>
  </si>
  <si>
    <t>λ</t>
  </si>
  <si>
    <t>T</t>
  </si>
  <si>
    <t>T_start</t>
  </si>
  <si>
    <t>T_Fin</t>
  </si>
  <si>
    <t>T_iter</t>
  </si>
  <si>
    <t>q_start</t>
  </si>
  <si>
    <t>T_end</t>
  </si>
  <si>
    <t>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</si>
</sst>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1" xfId="0" applyBorder="1" applyAlignment="1">
      <alignment horizontal="center" vertical="center"/>
    </xf>
    <xf numFmtId="164" fontId="0" fillId="0" borderId="1" xfId="0" applyNumberFormat="1" applyBorder="1"/>
    <xf numFmtId="0" fontId="0" fillId="0" borderId="1" xfId="0" applyBorder="1"/>
    <xf numFmtId="0" fontId="0" fillId="0" borderId="1" xfId="0" applyBorder="1" applyAlignment="1">
      <alignment vertical="center"/>
    </xf>
    <xf numFmtId="164" fontId="0" fillId="0" borderId="1" xfId="0" applyNumberFormat="1" applyBorder="1" applyAlignment="1">
      <alignment vertical="center"/>
    </xf>
    <xf numFmtId="0" fontId="0" fillId="0" borderId="1" xfId="0" applyBorder="1" applyAlignment="1">
      <alignment horizontal="right"/>
    </xf>
    <xf numFmtId="0" fontId="1" fillId="0" borderId="1" xfId="0" applyFont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2998381768267149E-2"/>
          <c:y val="8.3457526080476907E-2"/>
          <c:w val="0.77568185460730743"/>
          <c:h val="0.84739711559900022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Лист1!$F$12:$AJ$12</c:f>
              <c:numCache>
                <c:formatCode>0.000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Лист1!$F$13:$AJ$13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293.33333333333297</c:v>
                </c:pt>
                <c:pt idx="2">
                  <c:v>286.66666666666595</c:v>
                </c:pt>
                <c:pt idx="3">
                  <c:v>279.99999999999898</c:v>
                </c:pt>
                <c:pt idx="4">
                  <c:v>273.33333333333206</c:v>
                </c:pt>
                <c:pt idx="5">
                  <c:v>266.66666666666515</c:v>
                </c:pt>
                <c:pt idx="6">
                  <c:v>259.99999999999829</c:v>
                </c:pt>
                <c:pt idx="7">
                  <c:v>253.3333333333315</c:v>
                </c:pt>
                <c:pt idx="8">
                  <c:v>246.66666666666472</c:v>
                </c:pt>
                <c:pt idx="9">
                  <c:v>239.99999999999795</c:v>
                </c:pt>
                <c:pt idx="10">
                  <c:v>233.33333333333121</c:v>
                </c:pt>
                <c:pt idx="11">
                  <c:v>226.6666666666645</c:v>
                </c:pt>
                <c:pt idx="12">
                  <c:v>219.99999999999778</c:v>
                </c:pt>
                <c:pt idx="13">
                  <c:v>213.3333333333311</c:v>
                </c:pt>
                <c:pt idx="14">
                  <c:v>206.66666666666444</c:v>
                </c:pt>
                <c:pt idx="15">
                  <c:v>199.99999999999778</c:v>
                </c:pt>
                <c:pt idx="16">
                  <c:v>193.33333333333115</c:v>
                </c:pt>
                <c:pt idx="17">
                  <c:v>186.66666666666453</c:v>
                </c:pt>
                <c:pt idx="18">
                  <c:v>179.99999999999793</c:v>
                </c:pt>
                <c:pt idx="19">
                  <c:v>173.33333333333132</c:v>
                </c:pt>
                <c:pt idx="20">
                  <c:v>166.66666666666475</c:v>
                </c:pt>
                <c:pt idx="21">
                  <c:v>159.99999999999821</c:v>
                </c:pt>
                <c:pt idx="22">
                  <c:v>153.33333333333167</c:v>
                </c:pt>
                <c:pt idx="23">
                  <c:v>146.66666666666515</c:v>
                </c:pt>
                <c:pt idx="24">
                  <c:v>139.99999999999866</c:v>
                </c:pt>
                <c:pt idx="25">
                  <c:v>133.33333333333218</c:v>
                </c:pt>
                <c:pt idx="26">
                  <c:v>126.66666666666573</c:v>
                </c:pt>
                <c:pt idx="27">
                  <c:v>119.99999999999929</c:v>
                </c:pt>
                <c:pt idx="28">
                  <c:v>113.33333333333286</c:v>
                </c:pt>
                <c:pt idx="29">
                  <c:v>106.66666666666643</c:v>
                </c:pt>
                <c:pt idx="30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1E58-414D-BAB9-B5EEC59643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8556136"/>
        <c:axId val="327920320"/>
      </c:scatterChart>
      <c:valAx>
        <c:axId val="328556136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27920320"/>
        <c:crosses val="autoZero"/>
        <c:crossBetween val="midCat"/>
      </c:valAx>
      <c:valAx>
        <c:axId val="3279203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285561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231774</xdr:colOff>
      <xdr:row>20</xdr:row>
      <xdr:rowOff>66675</xdr:rowOff>
    </xdr:from>
    <xdr:to>
      <xdr:col>11</xdr:col>
      <xdr:colOff>190499</xdr:colOff>
      <xdr:row>43</xdr:row>
      <xdr:rowOff>92075</xdr:rowOff>
    </xdr:to>
    <xdr:graphicFrame macro="">
      <xdr:nvGraphicFramePr>
        <xdr:cNvPr id="5" name="Диаграмма 4">
          <a:extLst>
            <a:ext uri="{FF2B5EF4-FFF2-40B4-BE49-F238E27FC236}">
              <a16:creationId xmlns="" xmlns:a16="http://schemas.microsoft.com/office/drawing/2014/main" id="{435834C6-D218-475F-9665-CD3C895C599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3</xdr:col>
      <xdr:colOff>361950</xdr:colOff>
      <xdr:row>20</xdr:row>
      <xdr:rowOff>180975</xdr:rowOff>
    </xdr:from>
    <xdr:ext cx="311111" cy="172227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6" name="TextBox 5">
              <a:extLst>
                <a:ext uri="{FF2B5EF4-FFF2-40B4-BE49-F238E27FC236}">
                  <a16:creationId xmlns="" xmlns:a16="http://schemas.microsoft.com/office/drawing/2014/main" id="{65849B9F-0812-4BC4-B0AC-BBF35000C002}"/>
                </a:ext>
              </a:extLst>
            </xdr:cNvPr>
            <xdr:cNvSpPr txBox="1"/>
          </xdr:nvSpPr>
          <xdr:spPr>
            <a:xfrm>
              <a:off x="2190750" y="3990975"/>
              <a:ext cx="31111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 </m:t>
                    </m:r>
                    <m:sSup>
                      <m:sSup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𝑜</m:t>
                        </m:r>
                      </m:sup>
                    </m:sSup>
                  </m:oMath>
                </m:oMathPara>
              </a14:m>
              <a:endParaRPr lang="ru-RU" sz="1100"/>
            </a:p>
          </xdr:txBody>
        </xdr:sp>
      </mc:Choice>
      <mc:Fallback>
        <xdr:sp macro="" textlink="">
          <xdr:nvSpPr>
            <xdr:cNvPr id="6" name="TextBox 5">
              <a:extLst>
                <a:ext uri="{FF2B5EF4-FFF2-40B4-BE49-F238E27FC236}">
                  <a16:creationId xmlns="" xmlns:a16="http://schemas.microsoft.com/office/drawing/2014/main" xmlns:a14="http://schemas.microsoft.com/office/drawing/2010/main" id="{65849B9F-0812-4BC4-B0AC-BBF35000C002}"/>
                </a:ext>
              </a:extLst>
            </xdr:cNvPr>
            <xdr:cNvSpPr txBox="1"/>
          </xdr:nvSpPr>
          <xdr:spPr>
            <a:xfrm>
              <a:off x="2190750" y="3990975"/>
              <a:ext cx="31111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𝑇 𝐶^𝑜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10</xdr:col>
      <xdr:colOff>371475</xdr:colOff>
      <xdr:row>42</xdr:row>
      <xdr:rowOff>25400</xdr:rowOff>
    </xdr:from>
    <xdr:ext cx="378565" cy="172227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7" name="TextBox 6">
              <a:extLst>
                <a:ext uri="{FF2B5EF4-FFF2-40B4-BE49-F238E27FC236}">
                  <a16:creationId xmlns="" xmlns:a16="http://schemas.microsoft.com/office/drawing/2014/main" id="{B90EE232-9513-410F-AE2C-C907F5E92E3A}"/>
                </a:ext>
              </a:extLst>
            </xdr:cNvPr>
            <xdr:cNvSpPr txBox="1"/>
          </xdr:nvSpPr>
          <xdr:spPr>
            <a:xfrm>
              <a:off x="6467475" y="8026400"/>
              <a:ext cx="37856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𝐿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 (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𝑚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ru-RU" sz="1100"/>
            </a:p>
          </xdr:txBody>
        </xdr:sp>
      </mc:Choice>
      <mc:Fallback>
        <xdr:sp macro="" textlink="">
          <xdr:nvSpPr>
            <xdr:cNvPr id="7" name="TextBox 6">
              <a:extLst>
                <a:ext uri="{FF2B5EF4-FFF2-40B4-BE49-F238E27FC236}">
                  <a16:creationId xmlns="" xmlns:a16="http://schemas.microsoft.com/office/drawing/2014/main" xmlns:a14="http://schemas.microsoft.com/office/drawing/2010/main" id="{B90EE232-9513-410F-AE2C-C907F5E92E3A}"/>
                </a:ext>
              </a:extLst>
            </xdr:cNvPr>
            <xdr:cNvSpPr txBox="1"/>
          </xdr:nvSpPr>
          <xdr:spPr>
            <a:xfrm>
              <a:off x="6467475" y="8026400"/>
              <a:ext cx="37856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𝐿 (𝑚)</a:t>
              </a:r>
              <a:endParaRPr lang="ru-RU" sz="11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3:AJ16"/>
  <sheetViews>
    <sheetView tabSelected="1" workbookViewId="0">
      <selection activeCell="G13" sqref="G13:AI13"/>
    </sheetView>
  </sheetViews>
  <sheetFormatPr defaultRowHeight="15" x14ac:dyDescent="0.25"/>
  <sheetData>
    <row r="3" spans="2:36" x14ac:dyDescent="0.25">
      <c r="B3" s="3" t="s">
        <v>0</v>
      </c>
      <c r="C3" s="6">
        <v>0.1</v>
      </c>
    </row>
    <row r="4" spans="2:36" x14ac:dyDescent="0.25">
      <c r="B4" s="3" t="s">
        <v>1</v>
      </c>
      <c r="C4" s="2">
        <f>C3/30</f>
        <v>3.3333333333333335E-3</v>
      </c>
    </row>
    <row r="5" spans="2:36" x14ac:dyDescent="0.25">
      <c r="B5" s="3" t="s">
        <v>2</v>
      </c>
      <c r="C5" s="2">
        <f>(C9*C8*C4^2)/(2*C10)</f>
        <v>0.4333333333333334</v>
      </c>
    </row>
    <row r="6" spans="2:36" x14ac:dyDescent="0.25">
      <c r="B6" s="3" t="s">
        <v>3</v>
      </c>
      <c r="C6" s="3">
        <v>5000</v>
      </c>
      <c r="D6">
        <v>5000.2333333333345</v>
      </c>
    </row>
    <row r="8" spans="2:36" x14ac:dyDescent="0.25">
      <c r="B8" s="3" t="s">
        <v>4</v>
      </c>
      <c r="C8" s="3">
        <v>460</v>
      </c>
    </row>
    <row r="9" spans="2:36" x14ac:dyDescent="0.25">
      <c r="B9" s="3" t="s">
        <v>5</v>
      </c>
      <c r="C9" s="3">
        <v>7800</v>
      </c>
    </row>
    <row r="10" spans="2:36" x14ac:dyDescent="0.25">
      <c r="B10" s="7" t="s">
        <v>6</v>
      </c>
      <c r="C10" s="3">
        <v>46</v>
      </c>
    </row>
    <row r="11" spans="2:36" x14ac:dyDescent="0.25"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2:36" x14ac:dyDescent="0.25">
      <c r="B12" s="3" t="s">
        <v>8</v>
      </c>
      <c r="C12" s="3">
        <v>300</v>
      </c>
      <c r="E12" t="s">
        <v>0</v>
      </c>
      <c r="F12" s="4">
        <v>0</v>
      </c>
      <c r="G12" s="5">
        <f>F12+$C$4</f>
        <v>3.3333333333333335E-3</v>
      </c>
      <c r="H12" s="5">
        <f t="shared" ref="H12:AJ12" si="0">G12+$C$4</f>
        <v>6.6666666666666671E-3</v>
      </c>
      <c r="I12" s="5">
        <f t="shared" si="0"/>
        <v>0.01</v>
      </c>
      <c r="J12" s="5">
        <f t="shared" si="0"/>
        <v>1.3333333333333334E-2</v>
      </c>
      <c r="K12" s="5">
        <f t="shared" si="0"/>
        <v>1.6666666666666666E-2</v>
      </c>
      <c r="L12" s="5">
        <f t="shared" si="0"/>
        <v>0.02</v>
      </c>
      <c r="M12" s="5">
        <f t="shared" si="0"/>
        <v>2.3333333333333334E-2</v>
      </c>
      <c r="N12" s="5">
        <f t="shared" si="0"/>
        <v>2.6666666666666668E-2</v>
      </c>
      <c r="O12" s="5">
        <f t="shared" si="0"/>
        <v>3.0000000000000002E-2</v>
      </c>
      <c r="P12" s="5">
        <f t="shared" si="0"/>
        <v>3.3333333333333333E-2</v>
      </c>
      <c r="Q12" s="5">
        <f t="shared" si="0"/>
        <v>3.6666666666666667E-2</v>
      </c>
      <c r="R12" s="5">
        <f t="shared" si="0"/>
        <v>0.04</v>
      </c>
      <c r="S12" s="5">
        <f t="shared" si="0"/>
        <v>4.3333333333333335E-2</v>
      </c>
      <c r="T12" s="5">
        <f t="shared" si="0"/>
        <v>4.6666666666666669E-2</v>
      </c>
      <c r="U12" s="5">
        <f t="shared" si="0"/>
        <v>0.05</v>
      </c>
      <c r="V12" s="5">
        <f t="shared" si="0"/>
        <v>5.3333333333333337E-2</v>
      </c>
      <c r="W12" s="5">
        <f t="shared" si="0"/>
        <v>5.6666666666666671E-2</v>
      </c>
      <c r="X12" s="5">
        <f t="shared" si="0"/>
        <v>6.0000000000000005E-2</v>
      </c>
      <c r="Y12" s="5">
        <f t="shared" si="0"/>
        <v>6.3333333333333339E-2</v>
      </c>
      <c r="Z12" s="5">
        <f t="shared" si="0"/>
        <v>6.6666666666666666E-2</v>
      </c>
      <c r="AA12" s="5">
        <f t="shared" si="0"/>
        <v>6.9999999999999993E-2</v>
      </c>
      <c r="AB12" s="5">
        <f t="shared" si="0"/>
        <v>7.333333333333332E-2</v>
      </c>
      <c r="AC12" s="5">
        <f t="shared" si="0"/>
        <v>7.6666666666666647E-2</v>
      </c>
      <c r="AD12" s="5">
        <f t="shared" si="0"/>
        <v>7.9999999999999974E-2</v>
      </c>
      <c r="AE12" s="5">
        <f t="shared" si="0"/>
        <v>8.3333333333333301E-2</v>
      </c>
      <c r="AF12" s="5">
        <f t="shared" si="0"/>
        <v>8.6666666666666628E-2</v>
      </c>
      <c r="AG12" s="5">
        <f t="shared" si="0"/>
        <v>8.9999999999999955E-2</v>
      </c>
      <c r="AH12" s="5">
        <f t="shared" si="0"/>
        <v>9.3333333333333282E-2</v>
      </c>
      <c r="AI12" s="5">
        <f t="shared" si="0"/>
        <v>9.6666666666666609E-2</v>
      </c>
      <c r="AJ12" s="5">
        <f t="shared" si="0"/>
        <v>9.9999999999999936E-2</v>
      </c>
    </row>
    <row r="13" spans="2:36" x14ac:dyDescent="0.25">
      <c r="B13" s="3" t="s">
        <v>9</v>
      </c>
      <c r="C13" s="3">
        <v>100</v>
      </c>
      <c r="E13" t="s">
        <v>7</v>
      </c>
      <c r="F13" s="4">
        <v>300</v>
      </c>
      <c r="G13" s="4">
        <v>293.33333333333297</v>
      </c>
      <c r="H13" s="4">
        <v>286.66666666666595</v>
      </c>
      <c r="I13" s="4">
        <v>279.99999999999898</v>
      </c>
      <c r="J13" s="4">
        <v>273.33333333333206</v>
      </c>
      <c r="K13" s="4">
        <v>266.66666666666515</v>
      </c>
      <c r="L13" s="4">
        <v>259.99999999999829</v>
      </c>
      <c r="M13" s="4">
        <v>253.3333333333315</v>
      </c>
      <c r="N13" s="4">
        <v>246.66666666666472</v>
      </c>
      <c r="O13" s="4">
        <v>239.99999999999795</v>
      </c>
      <c r="P13" s="4">
        <v>233.33333333333121</v>
      </c>
      <c r="Q13" s="4">
        <v>226.6666666666645</v>
      </c>
      <c r="R13" s="4">
        <v>219.99999999999778</v>
      </c>
      <c r="S13" s="4">
        <v>213.3333333333311</v>
      </c>
      <c r="T13" s="4">
        <v>206.66666666666444</v>
      </c>
      <c r="U13" s="4">
        <v>199.99999999999778</v>
      </c>
      <c r="V13" s="4">
        <v>193.33333333333115</v>
      </c>
      <c r="W13" s="4">
        <v>186.66666666666453</v>
      </c>
      <c r="X13" s="4">
        <v>179.99999999999793</v>
      </c>
      <c r="Y13" s="4">
        <v>173.33333333333132</v>
      </c>
      <c r="Z13" s="4">
        <v>166.66666666666475</v>
      </c>
      <c r="AA13" s="4">
        <v>159.99999999999821</v>
      </c>
      <c r="AB13" s="4">
        <v>153.33333333333167</v>
      </c>
      <c r="AC13" s="4">
        <v>146.66666666666515</v>
      </c>
      <c r="AD13" s="4">
        <v>139.99999999999866</v>
      </c>
      <c r="AE13" s="4">
        <v>133.33333333333218</v>
      </c>
      <c r="AF13" s="4">
        <v>126.66666666666573</v>
      </c>
      <c r="AG13" s="4">
        <v>119.99999999999929</v>
      </c>
      <c r="AH13" s="4">
        <v>113.33333333333286</v>
      </c>
      <c r="AI13" s="4">
        <v>106.66666666666643</v>
      </c>
      <c r="AJ13" s="4">
        <v>100</v>
      </c>
    </row>
    <row r="15" spans="2:36" x14ac:dyDescent="0.25">
      <c r="B15" s="3" t="s">
        <v>11</v>
      </c>
      <c r="C15" s="3">
        <v>92000</v>
      </c>
      <c r="E15" t="s">
        <v>10</v>
      </c>
      <c r="G15">
        <f>G13+($C$10*$C$5)/($C$9*$C$8)*((H13-2*G13+F13)/($C$4^2))</f>
        <v>293.33333333333297</v>
      </c>
      <c r="H15">
        <f t="shared" ref="H15:AI15" si="1">H13+($C$10*$C$5)/($C$9*$C$8)*((I13-2*H13+G13)/($C$4^2))</f>
        <v>286.66666666666595</v>
      </c>
      <c r="I15">
        <f t="shared" si="1"/>
        <v>279.99999999999898</v>
      </c>
      <c r="J15">
        <f t="shared" si="1"/>
        <v>273.33333333333206</v>
      </c>
      <c r="K15">
        <f t="shared" si="1"/>
        <v>266.66666666666515</v>
      </c>
      <c r="L15">
        <f t="shared" si="1"/>
        <v>259.99999999999829</v>
      </c>
      <c r="M15">
        <f t="shared" si="1"/>
        <v>253.3333333333315</v>
      </c>
      <c r="N15">
        <f t="shared" si="1"/>
        <v>246.66666666666472</v>
      </c>
      <c r="O15">
        <f t="shared" si="1"/>
        <v>239.99999999999795</v>
      </c>
      <c r="P15">
        <f t="shared" si="1"/>
        <v>233.33333333333121</v>
      </c>
      <c r="Q15">
        <f t="shared" si="1"/>
        <v>226.6666666666645</v>
      </c>
      <c r="R15">
        <f t="shared" si="1"/>
        <v>219.99999999999778</v>
      </c>
      <c r="S15">
        <f t="shared" si="1"/>
        <v>213.3333333333311</v>
      </c>
      <c r="T15">
        <f t="shared" si="1"/>
        <v>206.66666666666444</v>
      </c>
      <c r="U15">
        <f t="shared" si="1"/>
        <v>199.99999999999778</v>
      </c>
      <c r="V15">
        <f t="shared" si="1"/>
        <v>193.33333333333115</v>
      </c>
      <c r="W15">
        <f t="shared" si="1"/>
        <v>186.66666666666453</v>
      </c>
      <c r="X15">
        <f t="shared" si="1"/>
        <v>179.99999999999793</v>
      </c>
      <c r="Y15">
        <f t="shared" si="1"/>
        <v>173.33333333333132</v>
      </c>
      <c r="Z15">
        <f t="shared" si="1"/>
        <v>166.66666666666475</v>
      </c>
      <c r="AA15">
        <f t="shared" si="1"/>
        <v>159.99999999999821</v>
      </c>
      <c r="AB15">
        <f t="shared" si="1"/>
        <v>153.33333333333167</v>
      </c>
      <c r="AC15">
        <f t="shared" si="1"/>
        <v>146.66666666666515</v>
      </c>
      <c r="AD15">
        <f t="shared" si="1"/>
        <v>139.99999999999866</v>
      </c>
      <c r="AE15">
        <f t="shared" si="1"/>
        <v>133.33333333333218</v>
      </c>
      <c r="AF15">
        <f t="shared" si="1"/>
        <v>126.66666666666573</v>
      </c>
      <c r="AG15">
        <f t="shared" si="1"/>
        <v>119.99999999999929</v>
      </c>
      <c r="AH15">
        <f t="shared" si="1"/>
        <v>113.33333333333286</v>
      </c>
      <c r="AI15">
        <f t="shared" si="1"/>
        <v>106.66666666666643</v>
      </c>
    </row>
    <row r="16" spans="2:36" x14ac:dyDescent="0.25">
      <c r="B16" s="3" t="s">
        <v>12</v>
      </c>
      <c r="C16" s="3">
        <v>100</v>
      </c>
      <c r="E16" t="s">
        <v>13</v>
      </c>
      <c r="F16">
        <f>C15</f>
        <v>92000</v>
      </c>
      <c r="G16">
        <f>-$C$10*((G13-F13)/$C$4)</f>
        <v>92000.000000004962</v>
      </c>
      <c r="H16">
        <f t="shared" ref="H16:AI16" si="2">-$C$10*((H13-G13)/$C$4)</f>
        <v>92000.000000004962</v>
      </c>
      <c r="I16">
        <f t="shared" si="2"/>
        <v>92000.000000004176</v>
      </c>
      <c r="J16">
        <f t="shared" si="2"/>
        <v>92000.000000003391</v>
      </c>
      <c r="K16">
        <f t="shared" si="2"/>
        <v>92000.000000003391</v>
      </c>
      <c r="L16">
        <f t="shared" si="2"/>
        <v>92000.000000002605</v>
      </c>
      <c r="M16">
        <f t="shared" si="2"/>
        <v>92000.000000001819</v>
      </c>
      <c r="N16">
        <f t="shared" si="2"/>
        <v>92000.000000001426</v>
      </c>
      <c r="O16">
        <f t="shared" si="2"/>
        <v>92000.000000001426</v>
      </c>
      <c r="P16">
        <f t="shared" si="2"/>
        <v>92000.000000001033</v>
      </c>
      <c r="Q16">
        <f t="shared" si="2"/>
        <v>92000.000000000655</v>
      </c>
      <c r="R16">
        <f t="shared" si="2"/>
        <v>92000.000000000655</v>
      </c>
      <c r="S16">
        <f t="shared" si="2"/>
        <v>92000.000000000247</v>
      </c>
      <c r="T16">
        <f t="shared" si="2"/>
        <v>91999.999999999869</v>
      </c>
      <c r="U16">
        <f t="shared" si="2"/>
        <v>91999.999999999869</v>
      </c>
      <c r="V16">
        <f t="shared" si="2"/>
        <v>91999.999999999462</v>
      </c>
      <c r="W16">
        <f t="shared" si="2"/>
        <v>91999.999999999462</v>
      </c>
      <c r="X16">
        <f t="shared" si="2"/>
        <v>91999.999999999083</v>
      </c>
      <c r="Y16">
        <f t="shared" si="2"/>
        <v>91999.999999999083</v>
      </c>
      <c r="Z16">
        <f t="shared" si="2"/>
        <v>91999.999999998676</v>
      </c>
      <c r="AA16">
        <f t="shared" si="2"/>
        <v>91999.999999998297</v>
      </c>
      <c r="AB16">
        <f t="shared" si="2"/>
        <v>91999.999999998297</v>
      </c>
      <c r="AC16">
        <f t="shared" si="2"/>
        <v>91999.999999997905</v>
      </c>
      <c r="AD16">
        <f t="shared" si="2"/>
        <v>91999.999999997512</v>
      </c>
      <c r="AE16">
        <f t="shared" si="2"/>
        <v>91999.999999997512</v>
      </c>
      <c r="AF16">
        <f t="shared" si="2"/>
        <v>91999.99999999693</v>
      </c>
      <c r="AG16">
        <f t="shared" si="2"/>
        <v>91999.99999999693</v>
      </c>
      <c r="AH16">
        <f t="shared" si="2"/>
        <v>91999.999999996726</v>
      </c>
      <c r="AI16">
        <f t="shared" si="2"/>
        <v>91999.999999996726</v>
      </c>
      <c r="AJ16">
        <v>92000</v>
      </c>
    </row>
  </sheetData>
  <conditionalFormatting sqref="G13:AJ13">
    <cfRule type="colorScale" priority="2">
      <colorScale>
        <cfvo type="min"/>
        <cfvo type="percentile" val="50"/>
        <cfvo type="max"/>
        <color rgb="FF00B0F0"/>
        <color rgb="FFFFFF00"/>
        <color rgb="FFFF0000"/>
      </colorScale>
    </cfRule>
  </conditionalFormatting>
  <conditionalFormatting sqref="F13:AJ13">
    <cfRule type="colorScale" priority="1">
      <colorScale>
        <cfvo type="min"/>
        <cfvo type="percentile" val="50"/>
        <cfvo type="max"/>
        <color rgb="FF00B0F0"/>
        <color rgb="FFFFFF00"/>
        <color rgb="FFFF0000"/>
      </colorScale>
    </cfRule>
  </conditionalFormatting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Романус</dc:creator>
  <cp:lastModifiedBy>Романус</cp:lastModifiedBy>
  <dcterms:created xsi:type="dcterms:W3CDTF">2015-06-05T18:19:34Z</dcterms:created>
  <dcterms:modified xsi:type="dcterms:W3CDTF">2021-03-20T19:01:05Z</dcterms:modified>
</cp:coreProperties>
</file>